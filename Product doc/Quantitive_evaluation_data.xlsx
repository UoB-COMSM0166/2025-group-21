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jackmay/Desktop/msc_cs/software_eng/"/>
    </mc:Choice>
  </mc:AlternateContent>
  <xr:revisionPtr revIDLastSave="0" documentId="13_ncr:1_{643BA442-EAA2-764F-8763-6EE702701ED5}" xr6:coauthVersionLast="47" xr6:coauthVersionMax="47" xr10:uidLastSave="{00000000-0000-0000-0000-000000000000}"/>
  <bookViews>
    <workbookView xWindow="7360" yWindow="500" windowWidth="21440" windowHeight="16380" xr2:uid="{00000000-000D-0000-FFFF-FFFF00000000}"/>
  </bookViews>
  <sheets>
    <sheet name="NASA TLX" sheetId="1" r:id="rId1"/>
    <sheet name="S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2" l="1"/>
  <c r="P14" i="2"/>
  <c r="P4" i="2"/>
  <c r="P5" i="2"/>
  <c r="P6" i="2"/>
  <c r="P7" i="2"/>
  <c r="P8" i="2"/>
  <c r="P9" i="2"/>
  <c r="P10" i="2"/>
  <c r="P11" i="2"/>
  <c r="P12" i="2"/>
  <c r="P18" i="2"/>
  <c r="P20" i="2"/>
  <c r="P21" i="2"/>
  <c r="P22" i="2"/>
  <c r="P23" i="2"/>
  <c r="P24" i="2"/>
  <c r="P25" i="2"/>
  <c r="P26" i="2"/>
  <c r="P27" i="2"/>
  <c r="P3" i="2"/>
  <c r="O4" i="2"/>
  <c r="O5" i="2"/>
  <c r="O6" i="2"/>
  <c r="O7" i="2"/>
  <c r="O8" i="2"/>
  <c r="O9" i="2"/>
  <c r="O10" i="2"/>
  <c r="O11" i="2"/>
  <c r="O12" i="2"/>
  <c r="O18" i="2"/>
  <c r="O19" i="2"/>
  <c r="P19" i="2" s="1"/>
  <c r="O20" i="2"/>
  <c r="O21" i="2"/>
  <c r="O22" i="2"/>
  <c r="O23" i="2"/>
  <c r="O24" i="2"/>
  <c r="O25" i="2"/>
  <c r="O26" i="2"/>
  <c r="O27" i="2"/>
  <c r="O3" i="2"/>
  <c r="N4" i="2"/>
  <c r="N5" i="2"/>
  <c r="N6" i="2"/>
  <c r="N7" i="2"/>
  <c r="N8" i="2"/>
  <c r="N9" i="2"/>
  <c r="N10" i="2"/>
  <c r="N11" i="2"/>
  <c r="N12" i="2"/>
  <c r="N18" i="2"/>
  <c r="N19" i="2"/>
  <c r="N20" i="2"/>
  <c r="N21" i="2"/>
  <c r="N22" i="2"/>
  <c r="N23" i="2"/>
  <c r="N24" i="2"/>
  <c r="N25" i="2"/>
  <c r="N26" i="2"/>
  <c r="N27" i="2"/>
  <c r="M4" i="2"/>
  <c r="M5" i="2"/>
  <c r="M6" i="2"/>
  <c r="M7" i="2"/>
  <c r="M8" i="2"/>
  <c r="M9" i="2"/>
  <c r="M10" i="2"/>
  <c r="M11" i="2"/>
  <c r="M12" i="2"/>
  <c r="M18" i="2"/>
  <c r="M19" i="2"/>
  <c r="M20" i="2"/>
  <c r="M21" i="2"/>
  <c r="M22" i="2"/>
  <c r="M23" i="2"/>
  <c r="M24" i="2"/>
  <c r="M25" i="2"/>
  <c r="M26" i="2"/>
  <c r="M27" i="2"/>
  <c r="N3" i="2"/>
  <c r="M3" i="2"/>
  <c r="I4" i="1"/>
  <c r="I5" i="1"/>
  <c r="I6" i="1"/>
  <c r="I7" i="1"/>
  <c r="I8" i="1"/>
  <c r="I9" i="1"/>
  <c r="I10" i="1"/>
  <c r="I11" i="1"/>
  <c r="I12" i="1"/>
  <c r="I17" i="1"/>
  <c r="I18" i="1"/>
  <c r="I19" i="1"/>
  <c r="I20" i="1"/>
  <c r="I21" i="1"/>
  <c r="I22" i="1"/>
  <c r="I23" i="1"/>
  <c r="I24" i="1"/>
  <c r="I25" i="1"/>
  <c r="I26" i="1"/>
  <c r="I3" i="1"/>
  <c r="H4" i="1"/>
  <c r="H5" i="1"/>
  <c r="H6" i="1"/>
  <c r="H7" i="1"/>
  <c r="H8" i="1"/>
  <c r="H9" i="1"/>
  <c r="H10" i="1"/>
  <c r="H11" i="1"/>
  <c r="H12" i="1"/>
  <c r="H17" i="1"/>
  <c r="H18" i="1"/>
  <c r="H19" i="1"/>
  <c r="H20" i="1"/>
  <c r="H21" i="1"/>
  <c r="H22" i="1"/>
  <c r="H23" i="1"/>
  <c r="H24" i="1"/>
  <c r="H25" i="1"/>
  <c r="H26" i="1"/>
  <c r="H3" i="1"/>
</calcChain>
</file>

<file path=xl/sharedStrings.xml><?xml version="1.0" encoding="utf-8"?>
<sst xmlns="http://schemas.openxmlformats.org/spreadsheetml/2006/main" count="44" uniqueCount="26">
  <si>
    <t>NASA TLX - Difficulty 1</t>
  </si>
  <si>
    <t>Tester</t>
  </si>
  <si>
    <t>Mental Demand</t>
  </si>
  <si>
    <t>Physical Demand</t>
  </si>
  <si>
    <t>Temporal Demand</t>
  </si>
  <si>
    <t>Frustration</t>
  </si>
  <si>
    <t>Effort</t>
  </si>
  <si>
    <t>Performance</t>
  </si>
  <si>
    <t>NASA TLX - Difficulty 2</t>
  </si>
  <si>
    <t>SUS - Difficulty 1</t>
  </si>
  <si>
    <r>
      <t>Tester</t>
    </r>
    <r>
      <rPr>
        <sz val="11"/>
        <color rgb="FF000000"/>
        <rFont val="Aptos Narrow"/>
      </rPr>
      <t xml:space="preserve"> </t>
    </r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</si>
  <si>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</si>
  <si>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</si>
  <si>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</si>
  <si>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</si>
  <si>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</si>
  <si>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</si>
  <si>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</si>
  <si>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</si>
  <si>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</si>
  <si>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</si>
  <si>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SUS - Difficulty 2</t>
  </si>
  <si>
    <t>Even Sum</t>
  </si>
  <si>
    <t>Odd Sum</t>
  </si>
  <si>
    <t>Total Sum</t>
  </si>
  <si>
    <t>SUS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</si>
</sst>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charset val="134"/>
      <scheme val="minor"/>
    </font>
    <font>
      <sz val="11"/>
      <color rgb="FF000000"/>
      <name val="Aptos Narrow"/>
    </font>
    <font>
      <sz val="14"/>
      <color rgb="FF000000"/>
      <name val="Calibri"/>
      <family val="2"/>
      <scheme val="minor"/>
    </font>
    <font>
      <b/>
      <sz val="11"/>
      <color rgb="FF000000"/>
      <name val="Aptos Narrow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3AEE2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rgb="FFC0F1C8"/>
        <bgColor rgb="FF000000"/>
      </patternFill>
    </fill>
    <fill>
      <patternFill patternType="solid">
        <fgColor rgb="FFC0E4F5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2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0" xfId="0" applyFont="1">
      <alignment vertical="center"/>
    </xf>
    <xf numFmtId="0" fontId="1" fillId="4" borderId="1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2BA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115" workbookViewId="0">
      <selection activeCell="B28" sqref="B28"/>
    </sheetView>
  </sheetViews>
  <sheetFormatPr baseColWidth="10" defaultColWidth="20.5" defaultRowHeight="15" x14ac:dyDescent="0.2"/>
  <cols>
    <col min="1" max="1" width="20.5" customWidth="1"/>
    <col min="8" max="8" width="20.5" customWidth="1"/>
  </cols>
  <sheetData>
    <row r="1" spans="1:9" ht="13.5" customHeight="1" x14ac:dyDescent="0.2">
      <c r="A1" s="23" t="s">
        <v>0</v>
      </c>
      <c r="B1" s="23"/>
      <c r="C1" s="23"/>
      <c r="D1" s="23"/>
      <c r="E1" s="23"/>
      <c r="F1" s="23"/>
      <c r="G1" s="23"/>
    </row>
    <row r="2" spans="1:9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8" t="s">
        <v>7</v>
      </c>
    </row>
    <row r="3" spans="1:9" x14ac:dyDescent="0.2">
      <c r="A3" s="4">
        <v>1</v>
      </c>
      <c r="B3" s="4">
        <v>15</v>
      </c>
      <c r="C3" s="4">
        <v>5</v>
      </c>
      <c r="D3" s="4">
        <v>60</v>
      </c>
      <c r="E3" s="4">
        <v>65</v>
      </c>
      <c r="F3" s="11">
        <v>30</v>
      </c>
      <c r="G3" s="17">
        <v>0</v>
      </c>
      <c r="H3" s="30">
        <f>AVERAGE(B3:G3)</f>
        <v>29.166666666666668</v>
      </c>
      <c r="I3">
        <f>MEDIAN(B3:G3)</f>
        <v>22.5</v>
      </c>
    </row>
    <row r="4" spans="1:9" x14ac:dyDescent="0.2">
      <c r="A4" s="4">
        <v>2</v>
      </c>
      <c r="B4" s="4">
        <v>15</v>
      </c>
      <c r="C4" s="4">
        <v>10</v>
      </c>
      <c r="D4" s="4">
        <v>20</v>
      </c>
      <c r="E4" s="4">
        <v>0</v>
      </c>
      <c r="F4" s="11">
        <v>25</v>
      </c>
      <c r="G4" s="17">
        <v>20</v>
      </c>
      <c r="H4" s="30">
        <f>AVERAGE(B4:G4)</f>
        <v>15</v>
      </c>
      <c r="I4">
        <f t="shared" ref="I4:I26" si="0">MEDIAN(B4:G4)</f>
        <v>17.5</v>
      </c>
    </row>
    <row r="5" spans="1:9" x14ac:dyDescent="0.2">
      <c r="A5" s="4">
        <v>3</v>
      </c>
      <c r="B5" s="4">
        <v>20</v>
      </c>
      <c r="C5" s="4">
        <v>10</v>
      </c>
      <c r="D5" s="4">
        <v>30</v>
      </c>
      <c r="E5" s="4">
        <v>5</v>
      </c>
      <c r="F5" s="11">
        <v>20</v>
      </c>
      <c r="G5" s="17">
        <v>30</v>
      </c>
      <c r="H5" s="30">
        <f>AVERAGE(B5:G5)</f>
        <v>19.166666666666668</v>
      </c>
      <c r="I5">
        <f t="shared" si="0"/>
        <v>20</v>
      </c>
    </row>
    <row r="6" spans="1:9" x14ac:dyDescent="0.2">
      <c r="A6" s="4">
        <v>4</v>
      </c>
      <c r="B6" s="4">
        <v>70</v>
      </c>
      <c r="C6" s="4">
        <v>30</v>
      </c>
      <c r="D6" s="4">
        <v>20</v>
      </c>
      <c r="E6" s="4">
        <v>80</v>
      </c>
      <c r="F6" s="11">
        <v>40</v>
      </c>
      <c r="G6" s="17">
        <v>10</v>
      </c>
      <c r="H6" s="30">
        <f>AVERAGE(B6:G6)</f>
        <v>41.666666666666664</v>
      </c>
      <c r="I6">
        <f t="shared" si="0"/>
        <v>35</v>
      </c>
    </row>
    <row r="7" spans="1:9" x14ac:dyDescent="0.2">
      <c r="A7" s="4">
        <v>5</v>
      </c>
      <c r="B7" s="6">
        <v>10</v>
      </c>
      <c r="C7" s="4">
        <v>15</v>
      </c>
      <c r="D7" s="4">
        <v>20</v>
      </c>
      <c r="E7" s="4">
        <v>0</v>
      </c>
      <c r="F7" s="11">
        <v>60</v>
      </c>
      <c r="G7" s="17">
        <v>10</v>
      </c>
      <c r="H7" s="30">
        <f>AVERAGE(B7:G7)</f>
        <v>19.166666666666668</v>
      </c>
      <c r="I7">
        <f t="shared" si="0"/>
        <v>12.5</v>
      </c>
    </row>
    <row r="8" spans="1:9" x14ac:dyDescent="0.2">
      <c r="A8" s="11">
        <v>6</v>
      </c>
      <c r="B8" s="4">
        <v>50</v>
      </c>
      <c r="C8" s="3">
        <v>10</v>
      </c>
      <c r="D8" s="4">
        <v>70</v>
      </c>
      <c r="E8" s="4">
        <v>30</v>
      </c>
      <c r="F8" s="11">
        <v>60</v>
      </c>
      <c r="G8" s="17">
        <v>40</v>
      </c>
      <c r="H8" s="30">
        <f>AVERAGE(B8:G8)</f>
        <v>43.333333333333336</v>
      </c>
      <c r="I8">
        <f t="shared" si="0"/>
        <v>45</v>
      </c>
    </row>
    <row r="9" spans="1:9" x14ac:dyDescent="0.2">
      <c r="A9" s="4">
        <v>7</v>
      </c>
      <c r="B9" s="12">
        <v>65</v>
      </c>
      <c r="C9" s="4">
        <v>20</v>
      </c>
      <c r="D9" s="4">
        <v>30</v>
      </c>
      <c r="E9" s="4">
        <v>20</v>
      </c>
      <c r="F9" s="11">
        <v>65</v>
      </c>
      <c r="G9" s="17">
        <v>35</v>
      </c>
      <c r="H9" s="30">
        <f>AVERAGE(B9:G9)</f>
        <v>39.166666666666664</v>
      </c>
      <c r="I9">
        <f t="shared" si="0"/>
        <v>32.5</v>
      </c>
    </row>
    <row r="10" spans="1:9" x14ac:dyDescent="0.2">
      <c r="A10" s="4">
        <v>8</v>
      </c>
      <c r="B10" s="4">
        <v>20</v>
      </c>
      <c r="C10" s="4">
        <v>10</v>
      </c>
      <c r="D10" s="4">
        <v>20</v>
      </c>
      <c r="E10" s="4">
        <v>10</v>
      </c>
      <c r="F10" s="11">
        <v>40</v>
      </c>
      <c r="G10" s="17">
        <v>10</v>
      </c>
      <c r="H10" s="30">
        <f>AVERAGE(B10:G10)</f>
        <v>18.333333333333332</v>
      </c>
      <c r="I10">
        <f t="shared" si="0"/>
        <v>15</v>
      </c>
    </row>
    <row r="11" spans="1:9" x14ac:dyDescent="0.2">
      <c r="A11" s="4">
        <v>9</v>
      </c>
      <c r="B11" s="4">
        <v>30</v>
      </c>
      <c r="C11" s="4">
        <v>20</v>
      </c>
      <c r="D11" s="4">
        <v>30</v>
      </c>
      <c r="E11" s="4">
        <v>20</v>
      </c>
      <c r="F11" s="11">
        <v>40</v>
      </c>
      <c r="G11" s="17">
        <v>20</v>
      </c>
      <c r="H11" s="30">
        <f>AVERAGE(B11:G11)</f>
        <v>26.666666666666668</v>
      </c>
      <c r="I11">
        <f t="shared" si="0"/>
        <v>25</v>
      </c>
    </row>
    <row r="12" spans="1:9" x14ac:dyDescent="0.2">
      <c r="A12" s="6">
        <v>10</v>
      </c>
      <c r="B12" s="6">
        <v>20</v>
      </c>
      <c r="C12" s="6">
        <v>10</v>
      </c>
      <c r="D12" s="6">
        <v>20</v>
      </c>
      <c r="E12" s="6">
        <v>60</v>
      </c>
      <c r="F12" s="7">
        <v>60</v>
      </c>
      <c r="G12" s="17">
        <v>40</v>
      </c>
      <c r="H12" s="30">
        <f>AVERAGE(B12:G12)</f>
        <v>35</v>
      </c>
      <c r="I12">
        <f t="shared" si="0"/>
        <v>30</v>
      </c>
    </row>
    <row r="13" spans="1:9" x14ac:dyDescent="0.2">
      <c r="A13" s="15"/>
      <c r="B13" s="15"/>
      <c r="C13" s="15"/>
      <c r="D13" s="15"/>
      <c r="E13" s="15"/>
      <c r="F13" s="15"/>
      <c r="G13" s="15"/>
    </row>
    <row r="14" spans="1:9" x14ac:dyDescent="0.2">
      <c r="A14" s="14"/>
      <c r="B14" s="14"/>
      <c r="C14" s="14"/>
      <c r="D14" s="14"/>
      <c r="E14" s="14"/>
      <c r="F14" s="14"/>
      <c r="G14" s="14"/>
    </row>
    <row r="15" spans="1:9" ht="13.5" customHeight="1" x14ac:dyDescent="0.2">
      <c r="A15" s="24" t="s">
        <v>8</v>
      </c>
      <c r="B15" s="24"/>
      <c r="C15" s="24"/>
      <c r="D15" s="24"/>
      <c r="E15" s="24"/>
      <c r="F15" s="24"/>
      <c r="G15" s="24"/>
    </row>
    <row r="16" spans="1:9" x14ac:dyDescent="0.2">
      <c r="A16" s="9" t="s">
        <v>1</v>
      </c>
      <c r="B16" s="9" t="s">
        <v>2</v>
      </c>
      <c r="C16" s="9" t="s">
        <v>3</v>
      </c>
      <c r="D16" s="9" t="s">
        <v>4</v>
      </c>
      <c r="E16" s="9" t="s">
        <v>5</v>
      </c>
      <c r="F16" s="9" t="s">
        <v>6</v>
      </c>
      <c r="G16" s="16" t="s">
        <v>7</v>
      </c>
    </row>
    <row r="17" spans="1:9" x14ac:dyDescent="0.2">
      <c r="A17" s="4">
        <v>1</v>
      </c>
      <c r="B17" s="4">
        <v>40</v>
      </c>
      <c r="C17" s="4">
        <v>5</v>
      </c>
      <c r="D17" s="4">
        <v>85</v>
      </c>
      <c r="E17" s="4">
        <v>70</v>
      </c>
      <c r="F17" s="11">
        <v>60</v>
      </c>
      <c r="G17" s="17">
        <v>60</v>
      </c>
      <c r="H17" s="30">
        <f>AVERAGE(B17:G17)</f>
        <v>53.333333333333336</v>
      </c>
      <c r="I17">
        <f t="shared" si="0"/>
        <v>60</v>
      </c>
    </row>
    <row r="18" spans="1:9" x14ac:dyDescent="0.2">
      <c r="A18" s="4">
        <v>2</v>
      </c>
      <c r="B18" s="4">
        <v>45</v>
      </c>
      <c r="C18" s="4">
        <v>15</v>
      </c>
      <c r="D18" s="4">
        <v>20</v>
      </c>
      <c r="E18" s="4">
        <v>60</v>
      </c>
      <c r="F18" s="11">
        <v>50</v>
      </c>
      <c r="G18" s="17">
        <v>50</v>
      </c>
      <c r="H18" s="30">
        <f>AVERAGE(B18:G18)</f>
        <v>40</v>
      </c>
      <c r="I18">
        <f t="shared" si="0"/>
        <v>47.5</v>
      </c>
    </row>
    <row r="19" spans="1:9" x14ac:dyDescent="0.2">
      <c r="A19" s="4">
        <v>3</v>
      </c>
      <c r="B19" s="4">
        <v>35</v>
      </c>
      <c r="C19" s="4">
        <v>10</v>
      </c>
      <c r="D19" s="4">
        <v>45</v>
      </c>
      <c r="E19" s="4">
        <v>40</v>
      </c>
      <c r="F19" s="11">
        <v>20</v>
      </c>
      <c r="G19" s="17">
        <v>20</v>
      </c>
      <c r="H19" s="30">
        <f>AVERAGE(B19:G19)</f>
        <v>28.333333333333332</v>
      </c>
      <c r="I19">
        <f t="shared" si="0"/>
        <v>27.5</v>
      </c>
    </row>
    <row r="20" spans="1:9" x14ac:dyDescent="0.2">
      <c r="A20" s="4">
        <v>4</v>
      </c>
      <c r="B20" s="4">
        <v>30</v>
      </c>
      <c r="C20" s="4">
        <v>20</v>
      </c>
      <c r="D20" s="4">
        <v>60</v>
      </c>
      <c r="E20" s="4">
        <v>40</v>
      </c>
      <c r="F20" s="11">
        <v>70</v>
      </c>
      <c r="G20" s="17">
        <v>70</v>
      </c>
      <c r="H20" s="30">
        <f>AVERAGE(B20:G20)</f>
        <v>48.333333333333336</v>
      </c>
      <c r="I20">
        <f t="shared" si="0"/>
        <v>50</v>
      </c>
    </row>
    <row r="21" spans="1:9" x14ac:dyDescent="0.2">
      <c r="A21" s="4">
        <v>5</v>
      </c>
      <c r="B21" s="4">
        <v>40</v>
      </c>
      <c r="C21" s="4">
        <v>30</v>
      </c>
      <c r="D21" s="4">
        <v>15</v>
      </c>
      <c r="E21" s="4">
        <v>50</v>
      </c>
      <c r="F21" s="11">
        <v>60</v>
      </c>
      <c r="G21" s="17">
        <v>60</v>
      </c>
      <c r="H21" s="30">
        <f>AVERAGE(B21:G21)</f>
        <v>42.5</v>
      </c>
      <c r="I21">
        <f t="shared" si="0"/>
        <v>45</v>
      </c>
    </row>
    <row r="22" spans="1:9" x14ac:dyDescent="0.2">
      <c r="A22" s="4">
        <v>6</v>
      </c>
      <c r="B22" s="4">
        <v>60</v>
      </c>
      <c r="C22" s="4">
        <v>15</v>
      </c>
      <c r="D22" s="4">
        <v>70</v>
      </c>
      <c r="E22" s="4">
        <v>80</v>
      </c>
      <c r="F22" s="11">
        <v>60</v>
      </c>
      <c r="G22" s="17">
        <v>60</v>
      </c>
      <c r="H22" s="30">
        <f>AVERAGE(B22:G22)</f>
        <v>57.5</v>
      </c>
      <c r="I22">
        <f t="shared" si="0"/>
        <v>60</v>
      </c>
    </row>
    <row r="23" spans="1:9" x14ac:dyDescent="0.2">
      <c r="A23" s="11">
        <v>7</v>
      </c>
      <c r="B23" s="4">
        <v>55</v>
      </c>
      <c r="C23" s="12">
        <v>20</v>
      </c>
      <c r="D23" s="4">
        <v>55</v>
      </c>
      <c r="E23" s="4">
        <v>65</v>
      </c>
      <c r="F23" s="11">
        <v>70</v>
      </c>
      <c r="G23" s="17">
        <v>70</v>
      </c>
      <c r="H23" s="30">
        <f>AVERAGE(B23:G23)</f>
        <v>55.833333333333336</v>
      </c>
      <c r="I23">
        <f t="shared" si="0"/>
        <v>60</v>
      </c>
    </row>
    <row r="24" spans="1:9" x14ac:dyDescent="0.2">
      <c r="A24" s="4">
        <v>8</v>
      </c>
      <c r="B24" s="13">
        <v>40</v>
      </c>
      <c r="C24" s="4">
        <v>20</v>
      </c>
      <c r="D24" s="4">
        <v>20</v>
      </c>
      <c r="E24" s="4">
        <v>45</v>
      </c>
      <c r="F24" s="11">
        <v>70</v>
      </c>
      <c r="G24" s="17">
        <v>70</v>
      </c>
      <c r="H24" s="30">
        <f>AVERAGE(B24:G24)</f>
        <v>44.166666666666664</v>
      </c>
      <c r="I24">
        <f t="shared" si="0"/>
        <v>42.5</v>
      </c>
    </row>
    <row r="25" spans="1:9" x14ac:dyDescent="0.2">
      <c r="A25" s="4">
        <v>9</v>
      </c>
      <c r="B25" s="4">
        <v>50</v>
      </c>
      <c r="C25" s="4">
        <v>40</v>
      </c>
      <c r="D25" s="4">
        <v>50</v>
      </c>
      <c r="E25" s="4">
        <v>60</v>
      </c>
      <c r="F25" s="11">
        <v>70</v>
      </c>
      <c r="G25" s="17">
        <v>70</v>
      </c>
      <c r="H25" s="30">
        <f>AVERAGE(B25:G25)</f>
        <v>56.666666666666664</v>
      </c>
      <c r="I25">
        <f t="shared" si="0"/>
        <v>55</v>
      </c>
    </row>
    <row r="26" spans="1:9" x14ac:dyDescent="0.2">
      <c r="A26" s="4">
        <v>10</v>
      </c>
      <c r="B26" s="4">
        <v>40</v>
      </c>
      <c r="C26" s="4">
        <v>40</v>
      </c>
      <c r="D26" s="4">
        <v>10</v>
      </c>
      <c r="E26" s="4">
        <v>90</v>
      </c>
      <c r="F26" s="11">
        <v>60</v>
      </c>
      <c r="G26" s="17">
        <v>60</v>
      </c>
      <c r="H26" s="30">
        <f>AVERAGE(B26:G26)</f>
        <v>50</v>
      </c>
      <c r="I26">
        <f t="shared" si="0"/>
        <v>50</v>
      </c>
    </row>
    <row r="28" spans="1:9" ht="19" x14ac:dyDescent="0.2">
      <c r="B28" s="19">
        <v>11.5</v>
      </c>
      <c r="C28" s="20">
        <v>3.5</v>
      </c>
      <c r="D28" s="20">
        <v>3</v>
      </c>
      <c r="E28" s="20">
        <v>5.5</v>
      </c>
      <c r="F28" s="20">
        <v>0</v>
      </c>
      <c r="G28" s="21">
        <v>1</v>
      </c>
    </row>
  </sheetData>
  <mergeCells count="2">
    <mergeCell ref="A1:G1"/>
    <mergeCell ref="A15:G15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workbookViewId="0">
      <selection activeCell="R17" sqref="R17"/>
    </sheetView>
  </sheetViews>
  <sheetFormatPr baseColWidth="10" defaultColWidth="9" defaultRowHeight="15" x14ac:dyDescent="0.2"/>
  <cols>
    <col min="1" max="11" width="15.5" customWidth="1"/>
  </cols>
  <sheetData>
    <row r="1" spans="1:17" ht="13.5" customHeight="1" x14ac:dyDescent="0.2">
      <c r="A1" s="25" t="s">
        <v>9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7" x14ac:dyDescent="0.2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M2" s="27" t="s">
        <v>22</v>
      </c>
      <c r="N2" s="27" t="s">
        <v>23</v>
      </c>
      <c r="O2" s="27" t="s">
        <v>24</v>
      </c>
      <c r="P2" s="27" t="s">
        <v>25</v>
      </c>
    </row>
    <row r="3" spans="1:17" x14ac:dyDescent="0.2">
      <c r="A3" s="3">
        <v>1</v>
      </c>
      <c r="B3" s="4">
        <v>5</v>
      </c>
      <c r="C3" s="4">
        <v>2</v>
      </c>
      <c r="D3" s="4">
        <v>5</v>
      </c>
      <c r="E3" s="4">
        <v>1</v>
      </c>
      <c r="F3" s="4">
        <v>4</v>
      </c>
      <c r="G3" s="4">
        <v>1</v>
      </c>
      <c r="H3" s="4">
        <v>3</v>
      </c>
      <c r="I3" s="4">
        <v>1</v>
      </c>
      <c r="J3" s="4">
        <v>4</v>
      </c>
      <c r="K3" s="4">
        <v>2</v>
      </c>
      <c r="M3">
        <f>B3-1+D3-1+F3-1+H3-1+J3-1</f>
        <v>16</v>
      </c>
      <c r="N3">
        <f>5-C3+5-E3+5-G3+5-I3+5-K3</f>
        <v>18</v>
      </c>
      <c r="O3" s="22">
        <f>SUM(M3:N3)</f>
        <v>34</v>
      </c>
      <c r="P3">
        <f>O3*2.5</f>
        <v>85</v>
      </c>
      <c r="Q3">
        <v>68</v>
      </c>
    </row>
    <row r="4" spans="1:17" x14ac:dyDescent="0.2">
      <c r="A4" s="3">
        <v>2</v>
      </c>
      <c r="B4" s="4">
        <v>5</v>
      </c>
      <c r="C4" s="4">
        <v>1</v>
      </c>
      <c r="D4" s="4">
        <v>5</v>
      </c>
      <c r="E4" s="4">
        <v>1</v>
      </c>
      <c r="F4" s="4">
        <v>5</v>
      </c>
      <c r="G4" s="4">
        <v>2</v>
      </c>
      <c r="H4" s="4">
        <v>4</v>
      </c>
      <c r="I4" s="4">
        <v>2</v>
      </c>
      <c r="J4" s="4">
        <v>4</v>
      </c>
      <c r="K4" s="4">
        <v>2</v>
      </c>
      <c r="M4">
        <f t="shared" ref="M4:M27" si="0">B4-1+D4-1+F4-1+H4-1+J4-1</f>
        <v>18</v>
      </c>
      <c r="N4">
        <f t="shared" ref="N4:N27" si="1">5-C4+5-E4+5-G4+5-I4+5-K4</f>
        <v>17</v>
      </c>
      <c r="O4" s="22">
        <f t="shared" ref="O4:O27" si="2">SUM(M4:N4)</f>
        <v>35</v>
      </c>
      <c r="P4">
        <f t="shared" ref="P4:P27" si="3">O4*2.5</f>
        <v>87.5</v>
      </c>
      <c r="Q4">
        <v>68</v>
      </c>
    </row>
    <row r="5" spans="1:17" x14ac:dyDescent="0.2">
      <c r="A5" s="3">
        <v>3</v>
      </c>
      <c r="B5" s="4">
        <v>4</v>
      </c>
      <c r="C5" s="4">
        <v>1</v>
      </c>
      <c r="D5" s="4">
        <v>5</v>
      </c>
      <c r="E5" s="4">
        <v>1</v>
      </c>
      <c r="F5" s="4">
        <v>5</v>
      </c>
      <c r="G5" s="4">
        <v>1</v>
      </c>
      <c r="H5" s="4">
        <v>4</v>
      </c>
      <c r="I5" s="4">
        <v>1</v>
      </c>
      <c r="J5" s="4">
        <v>5</v>
      </c>
      <c r="K5" s="4">
        <v>1</v>
      </c>
      <c r="M5">
        <f t="shared" si="0"/>
        <v>18</v>
      </c>
      <c r="N5">
        <f t="shared" si="1"/>
        <v>20</v>
      </c>
      <c r="O5" s="22">
        <f t="shared" si="2"/>
        <v>38</v>
      </c>
      <c r="P5">
        <f t="shared" si="3"/>
        <v>95</v>
      </c>
      <c r="Q5">
        <v>68</v>
      </c>
    </row>
    <row r="6" spans="1:17" x14ac:dyDescent="0.2">
      <c r="A6" s="3">
        <v>4</v>
      </c>
      <c r="B6" s="4">
        <v>5</v>
      </c>
      <c r="C6" s="4">
        <v>1</v>
      </c>
      <c r="D6" s="4">
        <v>3</v>
      </c>
      <c r="E6" s="4">
        <v>1</v>
      </c>
      <c r="F6" s="4">
        <v>4</v>
      </c>
      <c r="G6" s="4">
        <v>2</v>
      </c>
      <c r="H6" s="4">
        <v>3</v>
      </c>
      <c r="I6" s="4">
        <v>2</v>
      </c>
      <c r="J6" s="4">
        <v>5</v>
      </c>
      <c r="K6" s="4">
        <v>3</v>
      </c>
      <c r="M6">
        <f t="shared" si="0"/>
        <v>15</v>
      </c>
      <c r="N6">
        <f t="shared" si="1"/>
        <v>16</v>
      </c>
      <c r="O6" s="22">
        <f t="shared" si="2"/>
        <v>31</v>
      </c>
      <c r="P6">
        <f t="shared" si="3"/>
        <v>77.5</v>
      </c>
      <c r="Q6">
        <v>68</v>
      </c>
    </row>
    <row r="7" spans="1:17" x14ac:dyDescent="0.2">
      <c r="A7" s="3">
        <v>5</v>
      </c>
      <c r="B7" s="4">
        <v>5</v>
      </c>
      <c r="C7" s="4">
        <v>1</v>
      </c>
      <c r="D7" s="4">
        <v>5</v>
      </c>
      <c r="E7" s="4">
        <v>1</v>
      </c>
      <c r="F7" s="4">
        <v>5</v>
      </c>
      <c r="G7" s="4">
        <v>3</v>
      </c>
      <c r="H7" s="4">
        <v>5</v>
      </c>
      <c r="I7" s="4">
        <v>2</v>
      </c>
      <c r="J7" s="4">
        <v>2</v>
      </c>
      <c r="K7" s="4">
        <v>1</v>
      </c>
      <c r="M7">
        <f t="shared" si="0"/>
        <v>17</v>
      </c>
      <c r="N7">
        <f t="shared" si="1"/>
        <v>17</v>
      </c>
      <c r="O7" s="22">
        <f t="shared" si="2"/>
        <v>34</v>
      </c>
      <c r="P7">
        <f t="shared" si="3"/>
        <v>85</v>
      </c>
      <c r="Q7">
        <v>68</v>
      </c>
    </row>
    <row r="8" spans="1:17" x14ac:dyDescent="0.2">
      <c r="A8" s="3">
        <v>6</v>
      </c>
      <c r="B8" s="4">
        <v>4</v>
      </c>
      <c r="C8" s="4">
        <v>2</v>
      </c>
      <c r="D8" s="4">
        <v>4</v>
      </c>
      <c r="E8" s="4">
        <v>2</v>
      </c>
      <c r="F8" s="4">
        <v>5</v>
      </c>
      <c r="G8" s="4">
        <v>1</v>
      </c>
      <c r="H8" s="4">
        <v>5</v>
      </c>
      <c r="I8" s="4">
        <v>2</v>
      </c>
      <c r="J8" s="4">
        <v>4</v>
      </c>
      <c r="K8" s="4">
        <v>2</v>
      </c>
      <c r="M8">
        <f t="shared" si="0"/>
        <v>17</v>
      </c>
      <c r="N8">
        <f t="shared" si="1"/>
        <v>16</v>
      </c>
      <c r="O8" s="22">
        <f t="shared" si="2"/>
        <v>33</v>
      </c>
      <c r="P8">
        <f t="shared" si="3"/>
        <v>82.5</v>
      </c>
      <c r="Q8">
        <v>68</v>
      </c>
    </row>
    <row r="9" spans="1:17" x14ac:dyDescent="0.2">
      <c r="A9" s="3">
        <v>7</v>
      </c>
      <c r="B9" s="4">
        <v>4</v>
      </c>
      <c r="C9" s="4">
        <v>1</v>
      </c>
      <c r="D9" s="4">
        <v>4</v>
      </c>
      <c r="E9" s="4">
        <v>1</v>
      </c>
      <c r="F9" s="4">
        <v>5</v>
      </c>
      <c r="G9" s="4">
        <v>1</v>
      </c>
      <c r="H9" s="4">
        <v>4</v>
      </c>
      <c r="I9" s="4">
        <v>2</v>
      </c>
      <c r="J9" s="4">
        <v>4</v>
      </c>
      <c r="K9" s="4">
        <v>2</v>
      </c>
      <c r="M9">
        <f t="shared" si="0"/>
        <v>16</v>
      </c>
      <c r="N9">
        <f t="shared" si="1"/>
        <v>18</v>
      </c>
      <c r="O9" s="22">
        <f t="shared" si="2"/>
        <v>34</v>
      </c>
      <c r="P9">
        <f t="shared" si="3"/>
        <v>85</v>
      </c>
      <c r="Q9">
        <v>68</v>
      </c>
    </row>
    <row r="10" spans="1:17" x14ac:dyDescent="0.2">
      <c r="A10" s="3">
        <v>8</v>
      </c>
      <c r="B10" s="4">
        <v>5</v>
      </c>
      <c r="C10" s="4">
        <v>1</v>
      </c>
      <c r="D10" s="4">
        <v>5</v>
      </c>
      <c r="E10" s="4">
        <v>1</v>
      </c>
      <c r="F10" s="4">
        <v>5</v>
      </c>
      <c r="G10" s="4">
        <v>1</v>
      </c>
      <c r="H10" s="4">
        <v>4</v>
      </c>
      <c r="I10" s="4">
        <v>1</v>
      </c>
      <c r="J10" s="4">
        <v>5</v>
      </c>
      <c r="K10" s="4">
        <v>1</v>
      </c>
      <c r="M10">
        <f t="shared" si="0"/>
        <v>19</v>
      </c>
      <c r="N10">
        <f t="shared" si="1"/>
        <v>20</v>
      </c>
      <c r="O10" s="22">
        <f t="shared" si="2"/>
        <v>39</v>
      </c>
      <c r="P10">
        <f t="shared" si="3"/>
        <v>97.5</v>
      </c>
      <c r="Q10">
        <v>68</v>
      </c>
    </row>
    <row r="11" spans="1:17" x14ac:dyDescent="0.2">
      <c r="A11" s="3">
        <v>9</v>
      </c>
      <c r="B11" s="4">
        <v>5</v>
      </c>
      <c r="C11" s="4">
        <v>1</v>
      </c>
      <c r="D11" s="4">
        <v>5</v>
      </c>
      <c r="E11" s="4">
        <v>1</v>
      </c>
      <c r="F11" s="4">
        <v>5</v>
      </c>
      <c r="G11" s="4">
        <v>1</v>
      </c>
      <c r="H11" s="4">
        <v>5</v>
      </c>
      <c r="I11" s="4">
        <v>2</v>
      </c>
      <c r="J11" s="4">
        <v>5</v>
      </c>
      <c r="K11" s="4">
        <v>2</v>
      </c>
      <c r="M11">
        <f t="shared" si="0"/>
        <v>20</v>
      </c>
      <c r="N11">
        <f t="shared" si="1"/>
        <v>18</v>
      </c>
      <c r="O11" s="22">
        <f t="shared" si="2"/>
        <v>38</v>
      </c>
      <c r="P11">
        <f t="shared" si="3"/>
        <v>95</v>
      </c>
      <c r="Q11">
        <v>68</v>
      </c>
    </row>
    <row r="12" spans="1:17" x14ac:dyDescent="0.2">
      <c r="A12" s="5">
        <v>10</v>
      </c>
      <c r="B12" s="6">
        <v>5</v>
      </c>
      <c r="C12" s="6">
        <v>1</v>
      </c>
      <c r="D12" s="6">
        <v>5</v>
      </c>
      <c r="E12" s="6">
        <v>2</v>
      </c>
      <c r="F12" s="6">
        <v>5</v>
      </c>
      <c r="G12" s="6">
        <v>2</v>
      </c>
      <c r="H12" s="6">
        <v>4</v>
      </c>
      <c r="I12" s="6">
        <v>1</v>
      </c>
      <c r="J12" s="6">
        <v>5</v>
      </c>
      <c r="K12" s="6">
        <v>1</v>
      </c>
      <c r="M12">
        <f t="shared" si="0"/>
        <v>19</v>
      </c>
      <c r="N12">
        <f t="shared" si="1"/>
        <v>18</v>
      </c>
      <c r="O12" s="22">
        <f t="shared" si="2"/>
        <v>37</v>
      </c>
      <c r="P12">
        <f t="shared" si="3"/>
        <v>92.5</v>
      </c>
      <c r="Q12">
        <v>68</v>
      </c>
    </row>
    <row r="13" spans="1:17" ht="13.5" customHeight="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O13" s="22"/>
    </row>
    <row r="14" spans="1:17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O14" s="22"/>
      <c r="P14">
        <f>AVERAGE(P3:P12)</f>
        <v>88.25</v>
      </c>
    </row>
    <row r="15" spans="1:17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O15" s="22"/>
    </row>
    <row r="16" spans="1:17" ht="13.5" customHeight="1" x14ac:dyDescent="0.2">
      <c r="A16" s="28" t="s">
        <v>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O16" s="22"/>
    </row>
    <row r="17" spans="1:16" x14ac:dyDescent="0.2">
      <c r="A17" s="8" t="s">
        <v>10</v>
      </c>
      <c r="B17" s="9" t="s">
        <v>11</v>
      </c>
      <c r="C17" s="9" t="s">
        <v>12</v>
      </c>
      <c r="D17" s="9" t="s">
        <v>13</v>
      </c>
      <c r="E17" s="9" t="s">
        <v>14</v>
      </c>
      <c r="F17" s="9" t="s">
        <v>15</v>
      </c>
      <c r="G17" s="9" t="s">
        <v>16</v>
      </c>
      <c r="H17" s="9" t="s">
        <v>17</v>
      </c>
      <c r="I17" s="9" t="s">
        <v>18</v>
      </c>
      <c r="J17" s="9" t="s">
        <v>19</v>
      </c>
      <c r="K17" s="9" t="s">
        <v>20</v>
      </c>
      <c r="O17" s="22"/>
    </row>
    <row r="18" spans="1:16" x14ac:dyDescent="0.2">
      <c r="A18" s="3">
        <v>1</v>
      </c>
      <c r="B18" s="4">
        <v>5</v>
      </c>
      <c r="C18" s="4">
        <v>2</v>
      </c>
      <c r="D18" s="4">
        <v>4</v>
      </c>
      <c r="E18" s="4">
        <v>1</v>
      </c>
      <c r="F18" s="4">
        <v>5</v>
      </c>
      <c r="G18" s="4">
        <v>2</v>
      </c>
      <c r="H18" s="4">
        <v>3</v>
      </c>
      <c r="I18" s="4">
        <v>1</v>
      </c>
      <c r="J18" s="4">
        <v>5</v>
      </c>
      <c r="K18" s="4">
        <v>2</v>
      </c>
      <c r="M18">
        <f t="shared" si="0"/>
        <v>17</v>
      </c>
      <c r="N18">
        <f t="shared" si="1"/>
        <v>17</v>
      </c>
      <c r="O18" s="22">
        <f t="shared" si="2"/>
        <v>34</v>
      </c>
      <c r="P18">
        <f t="shared" si="3"/>
        <v>85</v>
      </c>
    </row>
    <row r="19" spans="1:16" x14ac:dyDescent="0.2">
      <c r="A19" s="3">
        <v>2</v>
      </c>
      <c r="B19" s="4">
        <v>3</v>
      </c>
      <c r="C19" s="4">
        <v>4</v>
      </c>
      <c r="D19" s="4">
        <v>4</v>
      </c>
      <c r="E19" s="4">
        <v>2</v>
      </c>
      <c r="F19" s="4">
        <v>5</v>
      </c>
      <c r="G19" s="4">
        <v>2</v>
      </c>
      <c r="H19" s="4">
        <v>5</v>
      </c>
      <c r="I19" s="4">
        <v>2</v>
      </c>
      <c r="J19" s="4">
        <v>5</v>
      </c>
      <c r="K19" s="4">
        <v>3</v>
      </c>
      <c r="M19">
        <f t="shared" si="0"/>
        <v>17</v>
      </c>
      <c r="N19">
        <f t="shared" si="1"/>
        <v>12</v>
      </c>
      <c r="O19" s="22">
        <f t="shared" si="2"/>
        <v>29</v>
      </c>
      <c r="P19">
        <f t="shared" si="3"/>
        <v>72.5</v>
      </c>
    </row>
    <row r="20" spans="1:16" x14ac:dyDescent="0.2">
      <c r="A20" s="3">
        <v>3</v>
      </c>
      <c r="B20" s="4">
        <v>2</v>
      </c>
      <c r="C20" s="4">
        <v>4</v>
      </c>
      <c r="D20" s="4">
        <v>5</v>
      </c>
      <c r="E20" s="4">
        <v>1</v>
      </c>
      <c r="F20" s="4">
        <v>5</v>
      </c>
      <c r="G20" s="4">
        <v>3</v>
      </c>
      <c r="H20" s="4">
        <v>2</v>
      </c>
      <c r="I20" s="4">
        <v>4</v>
      </c>
      <c r="J20" s="4">
        <v>3</v>
      </c>
      <c r="K20" s="4">
        <v>2</v>
      </c>
      <c r="M20">
        <f t="shared" si="0"/>
        <v>12</v>
      </c>
      <c r="N20">
        <f t="shared" si="1"/>
        <v>11</v>
      </c>
      <c r="O20" s="22">
        <f t="shared" si="2"/>
        <v>23</v>
      </c>
      <c r="P20">
        <f t="shared" si="3"/>
        <v>57.5</v>
      </c>
    </row>
    <row r="21" spans="1:16" x14ac:dyDescent="0.2">
      <c r="A21" s="3">
        <v>4</v>
      </c>
      <c r="B21" s="4">
        <v>4</v>
      </c>
      <c r="C21" s="4">
        <v>3</v>
      </c>
      <c r="D21" s="4">
        <v>5</v>
      </c>
      <c r="E21" s="4">
        <v>1</v>
      </c>
      <c r="F21" s="4">
        <v>5</v>
      </c>
      <c r="G21" s="4">
        <v>2</v>
      </c>
      <c r="H21" s="4">
        <v>3</v>
      </c>
      <c r="I21" s="4">
        <v>2</v>
      </c>
      <c r="J21" s="4">
        <v>3</v>
      </c>
      <c r="K21" s="4">
        <v>3</v>
      </c>
      <c r="M21">
        <f t="shared" si="0"/>
        <v>15</v>
      </c>
      <c r="N21">
        <f t="shared" si="1"/>
        <v>14</v>
      </c>
      <c r="O21" s="22">
        <f t="shared" si="2"/>
        <v>29</v>
      </c>
      <c r="P21">
        <f t="shared" si="3"/>
        <v>72.5</v>
      </c>
    </row>
    <row r="22" spans="1:16" x14ac:dyDescent="0.2">
      <c r="A22" s="3">
        <v>5</v>
      </c>
      <c r="B22" s="4">
        <v>3</v>
      </c>
      <c r="C22" s="4">
        <v>3</v>
      </c>
      <c r="D22" s="4">
        <v>4</v>
      </c>
      <c r="E22" s="4">
        <v>2</v>
      </c>
      <c r="F22" s="4">
        <v>5</v>
      </c>
      <c r="G22" s="4">
        <v>3</v>
      </c>
      <c r="H22" s="4">
        <v>5</v>
      </c>
      <c r="I22" s="4">
        <v>5</v>
      </c>
      <c r="J22" s="4">
        <v>3</v>
      </c>
      <c r="K22" s="4">
        <v>2</v>
      </c>
      <c r="M22">
        <f t="shared" si="0"/>
        <v>15</v>
      </c>
      <c r="N22">
        <f t="shared" si="1"/>
        <v>10</v>
      </c>
      <c r="O22" s="22">
        <f t="shared" si="2"/>
        <v>25</v>
      </c>
      <c r="P22">
        <f t="shared" si="3"/>
        <v>62.5</v>
      </c>
    </row>
    <row r="23" spans="1:16" x14ac:dyDescent="0.2">
      <c r="A23" s="3">
        <v>6</v>
      </c>
      <c r="B23" s="4">
        <v>4</v>
      </c>
      <c r="C23" s="4">
        <v>2</v>
      </c>
      <c r="D23" s="4">
        <v>4</v>
      </c>
      <c r="E23" s="4">
        <v>1</v>
      </c>
      <c r="F23" s="4">
        <v>3</v>
      </c>
      <c r="G23" s="4">
        <v>2</v>
      </c>
      <c r="H23" s="4">
        <v>4</v>
      </c>
      <c r="I23" s="4">
        <v>2</v>
      </c>
      <c r="J23" s="4">
        <v>4</v>
      </c>
      <c r="K23" s="4">
        <v>1</v>
      </c>
      <c r="M23">
        <f t="shared" si="0"/>
        <v>14</v>
      </c>
      <c r="N23">
        <f t="shared" si="1"/>
        <v>17</v>
      </c>
      <c r="O23" s="22">
        <f t="shared" si="2"/>
        <v>31</v>
      </c>
      <c r="P23">
        <f t="shared" si="3"/>
        <v>77.5</v>
      </c>
    </row>
    <row r="24" spans="1:16" x14ac:dyDescent="0.2">
      <c r="A24" s="3">
        <v>7</v>
      </c>
      <c r="B24" s="4">
        <v>4</v>
      </c>
      <c r="C24" s="4">
        <v>2</v>
      </c>
      <c r="D24" s="4">
        <v>5</v>
      </c>
      <c r="E24" s="4">
        <v>1</v>
      </c>
      <c r="F24" s="4">
        <v>4</v>
      </c>
      <c r="G24" s="4">
        <v>2</v>
      </c>
      <c r="H24" s="4">
        <v>4</v>
      </c>
      <c r="I24" s="4">
        <v>2</v>
      </c>
      <c r="J24" s="4">
        <v>5</v>
      </c>
      <c r="K24" s="4">
        <v>2</v>
      </c>
      <c r="M24">
        <f t="shared" si="0"/>
        <v>17</v>
      </c>
      <c r="N24">
        <f t="shared" si="1"/>
        <v>16</v>
      </c>
      <c r="O24" s="22">
        <f t="shared" si="2"/>
        <v>33</v>
      </c>
      <c r="P24">
        <f t="shared" si="3"/>
        <v>82.5</v>
      </c>
    </row>
    <row r="25" spans="1:16" x14ac:dyDescent="0.2">
      <c r="A25" s="3">
        <v>8</v>
      </c>
      <c r="B25" s="4">
        <v>5</v>
      </c>
      <c r="C25" s="4">
        <v>1</v>
      </c>
      <c r="D25" s="4">
        <v>4</v>
      </c>
      <c r="E25" s="4">
        <v>2</v>
      </c>
      <c r="F25" s="4">
        <v>5</v>
      </c>
      <c r="G25" s="4">
        <v>1</v>
      </c>
      <c r="H25" s="4">
        <v>5</v>
      </c>
      <c r="I25" s="4">
        <v>2</v>
      </c>
      <c r="J25" s="4">
        <v>5</v>
      </c>
      <c r="K25" s="4">
        <v>1</v>
      </c>
      <c r="M25">
        <f t="shared" si="0"/>
        <v>19</v>
      </c>
      <c r="N25">
        <f t="shared" si="1"/>
        <v>18</v>
      </c>
      <c r="O25" s="22">
        <f t="shared" si="2"/>
        <v>37</v>
      </c>
      <c r="P25">
        <f t="shared" si="3"/>
        <v>92.5</v>
      </c>
    </row>
    <row r="26" spans="1:16" x14ac:dyDescent="0.2">
      <c r="A26" s="3">
        <v>9</v>
      </c>
      <c r="B26" s="4">
        <v>5</v>
      </c>
      <c r="C26" s="4">
        <v>3</v>
      </c>
      <c r="D26" s="4">
        <v>4</v>
      </c>
      <c r="E26" s="4">
        <v>1</v>
      </c>
      <c r="F26" s="4">
        <v>4</v>
      </c>
      <c r="G26" s="4">
        <v>3</v>
      </c>
      <c r="H26" s="4">
        <v>5</v>
      </c>
      <c r="I26" s="4">
        <v>3</v>
      </c>
      <c r="J26" s="4">
        <v>5</v>
      </c>
      <c r="K26" s="4">
        <v>2</v>
      </c>
      <c r="M26">
        <f t="shared" si="0"/>
        <v>18</v>
      </c>
      <c r="N26">
        <f t="shared" si="1"/>
        <v>13</v>
      </c>
      <c r="O26" s="22">
        <f t="shared" si="2"/>
        <v>31</v>
      </c>
      <c r="P26">
        <f t="shared" si="3"/>
        <v>77.5</v>
      </c>
    </row>
    <row r="27" spans="1:16" x14ac:dyDescent="0.2">
      <c r="A27" s="3">
        <v>10</v>
      </c>
      <c r="B27" s="4">
        <v>4</v>
      </c>
      <c r="C27" s="4">
        <v>2</v>
      </c>
      <c r="D27" s="4">
        <v>4</v>
      </c>
      <c r="E27" s="4">
        <v>4</v>
      </c>
      <c r="F27" s="4">
        <v>4</v>
      </c>
      <c r="G27" s="4">
        <v>2</v>
      </c>
      <c r="H27" s="4">
        <v>4</v>
      </c>
      <c r="I27" s="4">
        <v>2</v>
      </c>
      <c r="J27" s="4">
        <v>4</v>
      </c>
      <c r="K27" s="4">
        <v>2</v>
      </c>
      <c r="M27">
        <f t="shared" si="0"/>
        <v>15</v>
      </c>
      <c r="N27">
        <f t="shared" si="1"/>
        <v>13</v>
      </c>
      <c r="O27" s="22">
        <f t="shared" si="2"/>
        <v>28</v>
      </c>
      <c r="P27">
        <f t="shared" si="3"/>
        <v>70</v>
      </c>
    </row>
    <row r="28" spans="1:16" ht="13.5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6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P29">
        <f>AVERAGE(P18:P27)</f>
        <v>75</v>
      </c>
    </row>
    <row r="30" spans="1:16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</row>
  </sheetData>
  <mergeCells count="3">
    <mergeCell ref="A1:K1"/>
    <mergeCell ref="A16:K16"/>
    <mergeCell ref="A28:K30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NASA TLX</vt:lpstr>
      <vt:lpstr>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zineng</dc:creator>
  <cp:lastModifiedBy>Jack May</cp:lastModifiedBy>
  <dcterms:created xsi:type="dcterms:W3CDTF">2025-05-02T13:05:54Z</dcterms:created>
  <dcterms:modified xsi:type="dcterms:W3CDTF">2025-05-12T11:07:35Z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3B9C8167B7C644D0ADCA01159084282C_11</vt:lpwstr>
  </property>
  <property fmtid="{D5CDD505-2E9C-101B-9397-08002B2CF9AE}" pid="3" name="KSOProductBuildVer">
    <vt:lpwstr>2052-12.1.0.20784</vt:lpwstr>
  </property>
</Properties>
</file>